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V.ISHMATOVA\Desktop\разное\"/>
    </mc:Choice>
  </mc:AlternateContent>
  <bookViews>
    <workbookView showHorizontalScroll="0" showVerticalScroll="0" showSheetTabs="0" xWindow="0" yWindow="0" windowWidth="28800" windowHeight="11835"/>
  </bookViews>
  <sheets>
    <sheet name="01.07.2026 тэс опер.с Тах " sheetId="1" r:id="rId1"/>
  </sheets>
  <externalReferences>
    <externalReference r:id="rId2"/>
  </externalReferences>
  <definedNames>
    <definedName name="_xlnm.Print_Area" localSheetId="0">'01.07.2026 тэс опер.с Тах '!$A$1:$U$35</definedName>
  </definedName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P35" i="1" l="1"/>
  <c r="D35" i="1"/>
  <c r="F35" i="1" s="1"/>
  <c r="C35" i="1"/>
  <c r="D34" i="1"/>
  <c r="E34" i="1" s="1"/>
  <c r="C34" i="1"/>
  <c r="F34" i="1" s="1"/>
  <c r="D33" i="1"/>
  <c r="F33" i="1" s="1"/>
  <c r="C33" i="1"/>
  <c r="D32" i="1"/>
  <c r="E32" i="1" s="1"/>
  <c r="C32" i="1"/>
  <c r="F31" i="1"/>
  <c r="E31" i="1"/>
  <c r="D31" i="1"/>
  <c r="C31" i="1"/>
  <c r="F30" i="1"/>
  <c r="D30" i="1"/>
  <c r="E30" i="1" s="1"/>
  <c r="C30" i="1"/>
  <c r="D29" i="1"/>
  <c r="F29" i="1" s="1"/>
  <c r="C29" i="1"/>
  <c r="F28" i="1"/>
  <c r="E28" i="1"/>
  <c r="D28" i="1"/>
  <c r="C28" i="1"/>
  <c r="F27" i="1"/>
  <c r="D27" i="1"/>
  <c r="E27" i="1" s="1"/>
  <c r="C27" i="1"/>
  <c r="D26" i="1"/>
  <c r="F26" i="1" s="1"/>
  <c r="F25" i="1" s="1"/>
  <c r="F24" i="1" s="1"/>
  <c r="F23" i="1" s="1"/>
  <c r="C26" i="1"/>
  <c r="C24" i="1" s="1"/>
  <c r="C23" i="1" s="1"/>
  <c r="E25" i="1"/>
  <c r="D25" i="1"/>
  <c r="C25" i="1"/>
  <c r="U24" i="1"/>
  <c r="T24" i="1"/>
  <c r="S24" i="1"/>
  <c r="R24" i="1"/>
  <c r="R23" i="1" s="1"/>
  <c r="Q24" i="1"/>
  <c r="Q23" i="1" s="1"/>
  <c r="P24" i="1"/>
  <c r="P23" i="1" s="1"/>
  <c r="O24" i="1"/>
  <c r="O23" i="1" s="1"/>
  <c r="N24" i="1"/>
  <c r="N23" i="1" s="1"/>
  <c r="M24" i="1"/>
  <c r="M23" i="1" s="1"/>
  <c r="L24" i="1"/>
  <c r="L23" i="1" s="1"/>
  <c r="K24" i="1"/>
  <c r="J24" i="1"/>
  <c r="I24" i="1"/>
  <c r="H24" i="1"/>
  <c r="G24" i="1"/>
  <c r="U23" i="1"/>
  <c r="T23" i="1"/>
  <c r="S23" i="1"/>
  <c r="K23" i="1"/>
  <c r="J23" i="1"/>
  <c r="I23" i="1"/>
  <c r="H23" i="1"/>
  <c r="G23" i="1"/>
  <c r="D17" i="1"/>
  <c r="F17" i="1" s="1"/>
  <c r="C17" i="1"/>
  <c r="D16" i="1"/>
  <c r="E16" i="1" s="1"/>
  <c r="C16" i="1"/>
  <c r="D15" i="1"/>
  <c r="F15" i="1" s="1"/>
  <c r="C15" i="1"/>
  <c r="D14" i="1"/>
  <c r="E14" i="1" s="1"/>
  <c r="C14" i="1"/>
  <c r="D13" i="1"/>
  <c r="E13" i="1" s="1"/>
  <c r="C13" i="1"/>
  <c r="F12" i="1"/>
  <c r="D12" i="1"/>
  <c r="E12" i="1" s="1"/>
  <c r="C12" i="1"/>
  <c r="D11" i="1"/>
  <c r="F11" i="1" s="1"/>
  <c r="C11" i="1"/>
  <c r="D10" i="1"/>
  <c r="F10" i="1" s="1"/>
  <c r="C10" i="1"/>
  <c r="F9" i="1"/>
  <c r="D9" i="1"/>
  <c r="E9" i="1" s="1"/>
  <c r="C9" i="1"/>
  <c r="D8" i="1"/>
  <c r="F8" i="1" s="1"/>
  <c r="C8" i="1"/>
  <c r="D7" i="1"/>
  <c r="E7" i="1" s="1"/>
  <c r="C7" i="1"/>
  <c r="C6" i="1" s="1"/>
  <c r="C5" i="1" s="1"/>
  <c r="U6" i="1"/>
  <c r="U5" i="1" s="1"/>
  <c r="T6" i="1"/>
  <c r="S6" i="1"/>
  <c r="R6" i="1"/>
  <c r="Q6" i="1"/>
  <c r="P6" i="1"/>
  <c r="O6" i="1"/>
  <c r="O5" i="1" s="1"/>
  <c r="N6" i="1"/>
  <c r="N5" i="1" s="1"/>
  <c r="M6" i="1"/>
  <c r="L6" i="1"/>
  <c r="L5" i="1" s="1"/>
  <c r="K6" i="1"/>
  <c r="K5" i="1" s="1"/>
  <c r="J6" i="1"/>
  <c r="J5" i="1" s="1"/>
  <c r="I6" i="1"/>
  <c r="I5" i="1" s="1"/>
  <c r="H6" i="1"/>
  <c r="G6" i="1"/>
  <c r="T5" i="1"/>
  <c r="S5" i="1"/>
  <c r="R5" i="1"/>
  <c r="Q5" i="1"/>
  <c r="P5" i="1"/>
  <c r="M5" i="1"/>
  <c r="H5" i="1"/>
  <c r="G5" i="1"/>
  <c r="F7" i="1" l="1"/>
  <c r="F6" i="1" s="1"/>
  <c r="F5" i="1" s="1"/>
  <c r="E6" i="1"/>
  <c r="F13" i="1"/>
  <c r="D24" i="1"/>
  <c r="D23" i="1" s="1"/>
  <c r="E17" i="1"/>
  <c r="D6" i="1"/>
  <c r="D5" i="1" s="1"/>
  <c r="E8" i="1"/>
  <c r="E11" i="1"/>
  <c r="E33" i="1"/>
  <c r="F16" i="1"/>
  <c r="E10" i="1"/>
  <c r="E15" i="1"/>
  <c r="E35" i="1"/>
  <c r="E26" i="1"/>
  <c r="E24" i="1" s="1"/>
  <c r="E23" i="1" s="1"/>
  <c r="E29" i="1"/>
  <c r="E5" i="1" l="1"/>
</calcChain>
</file>

<file path=xl/sharedStrings.xml><?xml version="1.0" encoding="utf-8"?>
<sst xmlns="http://schemas.openxmlformats.org/spreadsheetml/2006/main" count="74" uniqueCount="47">
  <si>
    <t>млн.сўм</t>
  </si>
  <si>
    <t xml:space="preserve">№ </t>
  </si>
  <si>
    <t>Номи</t>
  </si>
  <si>
    <t>Дебитор қарздорлик       01.01.2026</t>
  </si>
  <si>
    <t xml:space="preserve">Ўсиш/
камайиш   </t>
  </si>
  <si>
    <t xml:space="preserve">Ўсиш/камайиш с начала года </t>
  </si>
  <si>
    <t>шу жумладан:</t>
  </si>
  <si>
    <t>Сув</t>
  </si>
  <si>
    <t>Электр энергия</t>
  </si>
  <si>
    <t xml:space="preserve">Иссиқлик энергияси с учетом отсрочки </t>
  </si>
  <si>
    <t xml:space="preserve">Узтрансгаз </t>
  </si>
  <si>
    <t>Узгазтрэйд</t>
  </si>
  <si>
    <t>Подземгаз</t>
  </si>
  <si>
    <t>Худудгазтаъминот</t>
  </si>
  <si>
    <t xml:space="preserve">Тех ПД </t>
  </si>
  <si>
    <r>
      <t>КУМИР  (</t>
    </r>
    <r>
      <rPr>
        <b/>
        <sz val="16"/>
        <color theme="1"/>
        <rFont val="Times New Roman"/>
        <family val="1"/>
        <charset val="204"/>
      </rPr>
      <t xml:space="preserve">Узбеккумир Шаргункумир) </t>
    </r>
  </si>
  <si>
    <t xml:space="preserve">Таможня </t>
  </si>
  <si>
    <t xml:space="preserve">Кредит % </t>
  </si>
  <si>
    <t xml:space="preserve">Қўриқлаш хизмати </t>
  </si>
  <si>
    <t xml:space="preserve">Бошқалар (Пудратчи, ТМБ , Хизмат, ижара ва пр. </t>
  </si>
  <si>
    <t>Солиқ (олдиндан тўлов)</t>
  </si>
  <si>
    <t>"ИЭС" АЖ бўйича жами:</t>
  </si>
  <si>
    <t>"ИЭС" АЖ филиали</t>
  </si>
  <si>
    <t>"ИЭС" АЖ марказий аппарат</t>
  </si>
  <si>
    <t>"Сирдарё ИЭС" филиал</t>
  </si>
  <si>
    <t>"Талимаржон ИЭС" АЖ</t>
  </si>
  <si>
    <t>"Муборак ИЭМ" филиал</t>
  </si>
  <si>
    <t>"Тошкент ИЭМ" филиал</t>
  </si>
  <si>
    <t>"Фарғона ИЭМ" филиал</t>
  </si>
  <si>
    <t>"Тўрақўрғон ИЭС" филиал</t>
  </si>
  <si>
    <t>"Тахиатош ИЭС" АЖ</t>
  </si>
  <si>
    <t>"Тошкент иссиклик маркази" МЧЖ</t>
  </si>
  <si>
    <t xml:space="preserve"> "Ангрен" ИЭС" АЖ  </t>
  </si>
  <si>
    <t xml:space="preserve"> "Янги-Ангрен ИЭС" АЖ  </t>
  </si>
  <si>
    <t>Кредитор қарздорлик       01.01.2026</t>
  </si>
  <si>
    <t xml:space="preserve">Ўсиш/
камайиш </t>
  </si>
  <si>
    <t>Иссиқлик энергияси</t>
  </si>
  <si>
    <t>Мазут БНПЗ</t>
  </si>
  <si>
    <t>Тех ПД</t>
  </si>
  <si>
    <t xml:space="preserve">КУМИР  (Узбеккумир Шаргункумир,Апартак) </t>
  </si>
  <si>
    <t xml:space="preserve">Солиқ                    </t>
  </si>
  <si>
    <t xml:space="preserve">"Ангрен" ИЭС" АЖ  </t>
  </si>
  <si>
    <t>примечание :  Узтрансгаз 33275,7 отсрочка</t>
  </si>
  <si>
    <r>
      <rPr>
        <b/>
        <sz val="36"/>
        <color theme="8" tint="-0.249977111117893"/>
        <rFont val="Times New Roman"/>
        <family val="1"/>
        <charset val="204"/>
      </rPr>
      <t xml:space="preserve">"ИЭС" АЖ таркибига кирувчи корхоналарнинг 2026 йил 22 июль  ҳолатига дебиторлик ва кредиторлик қарзлари тўғрисида 
</t>
    </r>
    <r>
      <rPr>
        <b/>
        <sz val="36"/>
        <color rgb="FFC00000"/>
        <rFont val="Times New Roman"/>
        <family val="1"/>
        <charset val="204"/>
      </rPr>
      <t xml:space="preserve">МАЪЛУМОТ </t>
    </r>
  </si>
  <si>
    <t>Дебитор қарздорлик (тезкор)  22.07.2026</t>
  </si>
  <si>
    <t xml:space="preserve">Мазут ФНПЗ,БНПЗ   </t>
  </si>
  <si>
    <t>Кредитор қарздорлик (тезкор ) 22.07.2026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</si>
</sst>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3" formatCode="_-* #,##0.00\ _₽_-;\-* #,##0.00\ _₽_-;_-* &quot;-&quot;??\ _₽_-;_-@_-"/>
    <numFmt numFmtId="164" formatCode="_-* #,##0.0\ _₽_-;\-* #,##0.0\ _₽_-;_-* &quot;-&quot;??\ _₽_-;_-@_-"/>
    <numFmt numFmtId="165" formatCode="_-* #,##0.0\ _₽_-;\-* #,##0.0\ _₽_-;_-* &quot;-&quot;?\ _₽_-;_-@_-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36"/>
      <color theme="1"/>
      <name val="Times New Roman"/>
      <family val="1"/>
      <charset val="204"/>
    </font>
    <font>
      <b/>
      <sz val="36"/>
      <color theme="8" tint="-0.249977111117893"/>
      <name val="Times New Roman"/>
      <family val="1"/>
      <charset val="204"/>
    </font>
    <font>
      <b/>
      <sz val="36"/>
      <color rgb="FFC00000"/>
      <name val="Times New Roman"/>
      <family val="1"/>
      <charset val="204"/>
    </font>
    <font>
      <b/>
      <sz val="22"/>
      <color theme="1"/>
      <name val="Times New Roman"/>
      <family val="1"/>
      <charset val="204"/>
    </font>
    <font>
      <sz val="22"/>
      <color theme="1"/>
      <name val="Calibri"/>
      <family val="2"/>
      <scheme val="minor"/>
    </font>
    <font>
      <b/>
      <i/>
      <sz val="22"/>
      <color theme="1"/>
      <name val="Times New Roman"/>
      <family val="1"/>
      <charset val="204"/>
    </font>
    <font>
      <b/>
      <sz val="16"/>
      <color theme="1"/>
      <name val="Times New Roman"/>
      <family val="1"/>
      <charset val="204"/>
    </font>
    <font>
      <sz val="22"/>
      <color theme="1"/>
      <name val="Times New Roman"/>
      <family val="1"/>
      <charset val="204"/>
    </font>
    <font>
      <sz val="22"/>
      <name val="Times New Roman"/>
      <family val="1"/>
      <charset val="204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CC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70">
    <xf numFmtId="0" fontId="0" fillId="0" borderId="0" xfId="0"/>
    <xf numFmtId="0" fontId="5" fillId="0" borderId="0" xfId="0" applyFont="1" applyAlignment="1">
      <alignment horizontal="center" wrapText="1"/>
    </xf>
    <xf numFmtId="0" fontId="6" fillId="2" borderId="0" xfId="0" applyFont="1" applyFill="1"/>
    <xf numFmtId="0" fontId="6" fillId="0" borderId="0" xfId="0" applyFont="1"/>
    <xf numFmtId="164" fontId="6" fillId="0" borderId="0" xfId="1" applyNumberFormat="1" applyFont="1"/>
    <xf numFmtId="165" fontId="6" fillId="0" borderId="0" xfId="0" applyNumberFormat="1" applyFont="1"/>
    <xf numFmtId="0" fontId="5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5" fillId="4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 wrapText="1"/>
    </xf>
    <xf numFmtId="49" fontId="5" fillId="4" borderId="1" xfId="0" applyNumberFormat="1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left" vertical="center" wrapText="1"/>
    </xf>
    <xf numFmtId="164" fontId="5" fillId="5" borderId="1" xfId="1" applyNumberFormat="1" applyFont="1" applyFill="1" applyBorder="1" applyAlignment="1">
      <alignment vertical="center" wrapText="1"/>
    </xf>
    <xf numFmtId="165" fontId="6" fillId="2" borderId="0" xfId="0" applyNumberFormat="1" applyFont="1" applyFill="1"/>
    <xf numFmtId="164" fontId="5" fillId="0" borderId="1" xfId="1" applyNumberFormat="1" applyFont="1" applyFill="1" applyBorder="1" applyAlignment="1">
      <alignment vertical="center" wrapText="1"/>
    </xf>
    <xf numFmtId="164" fontId="9" fillId="0" borderId="1" xfId="1" applyNumberFormat="1" applyFont="1" applyFill="1" applyBorder="1" applyAlignment="1">
      <alignment vertical="center" wrapText="1"/>
    </xf>
    <xf numFmtId="164" fontId="9" fillId="2" borderId="1" xfId="1" applyNumberFormat="1" applyFont="1" applyFill="1" applyBorder="1" applyAlignment="1">
      <alignment vertical="center" wrapText="1"/>
    </xf>
    <xf numFmtId="164" fontId="9" fillId="2" borderId="4" xfId="1" applyNumberFormat="1" applyFont="1" applyFill="1" applyBorder="1" applyAlignment="1">
      <alignment vertical="center" wrapText="1"/>
    </xf>
    <xf numFmtId="164" fontId="5" fillId="2" borderId="1" xfId="1" applyNumberFormat="1" applyFont="1" applyFill="1" applyBorder="1" applyAlignment="1">
      <alignment vertical="center"/>
    </xf>
    <xf numFmtId="0" fontId="6" fillId="6" borderId="0" xfId="0" applyFont="1" applyFill="1"/>
    <xf numFmtId="164" fontId="5" fillId="0" borderId="1" xfId="1" applyNumberFormat="1" applyFont="1" applyFill="1" applyBorder="1" applyAlignment="1">
      <alignment vertical="center"/>
    </xf>
    <xf numFmtId="164" fontId="9" fillId="0" borderId="1" xfId="1" applyNumberFormat="1" applyFont="1" applyFill="1" applyBorder="1" applyAlignment="1">
      <alignment vertical="center"/>
    </xf>
    <xf numFmtId="43" fontId="9" fillId="0" borderId="1" xfId="1" applyFont="1" applyFill="1" applyBorder="1" applyAlignment="1">
      <alignment vertical="center"/>
    </xf>
    <xf numFmtId="164" fontId="9" fillId="2" borderId="1" xfId="1" applyNumberFormat="1" applyFont="1" applyFill="1" applyBorder="1" applyAlignment="1">
      <alignment vertical="center"/>
    </xf>
    <xf numFmtId="164" fontId="6" fillId="2" borderId="0" xfId="0" applyNumberFormat="1" applyFont="1" applyFill="1"/>
    <xf numFmtId="0" fontId="6" fillId="4" borderId="0" xfId="0" applyFont="1" applyFill="1"/>
    <xf numFmtId="164" fontId="10" fillId="2" borderId="1" xfId="1" applyNumberFormat="1" applyFont="1" applyFill="1" applyBorder="1" applyAlignment="1">
      <alignment vertical="center"/>
    </xf>
    <xf numFmtId="164" fontId="10" fillId="0" borderId="1" xfId="1" applyNumberFormat="1" applyFont="1" applyFill="1" applyBorder="1" applyAlignment="1">
      <alignment vertical="center"/>
    </xf>
    <xf numFmtId="0" fontId="9" fillId="7" borderId="1" xfId="0" applyFont="1" applyFill="1" applyBorder="1" applyAlignment="1">
      <alignment horizontal="center" vertical="center"/>
    </xf>
    <xf numFmtId="0" fontId="9" fillId="7" borderId="1" xfId="0" applyFont="1" applyFill="1" applyBorder="1" applyAlignment="1">
      <alignment horizontal="left" vertical="center"/>
    </xf>
    <xf numFmtId="164" fontId="5" fillId="7" borderId="1" xfId="1" applyNumberFormat="1" applyFont="1" applyFill="1" applyBorder="1" applyAlignment="1">
      <alignment vertical="center" wrapText="1"/>
    </xf>
    <xf numFmtId="164" fontId="5" fillId="7" borderId="1" xfId="1" applyNumberFormat="1" applyFont="1" applyFill="1" applyBorder="1" applyAlignment="1">
      <alignment vertical="center"/>
    </xf>
    <xf numFmtId="164" fontId="9" fillId="7" borderId="1" xfId="1" applyNumberFormat="1" applyFont="1" applyFill="1" applyBorder="1" applyAlignment="1">
      <alignment vertical="center"/>
    </xf>
    <xf numFmtId="43" fontId="9" fillId="7" borderId="1" xfId="1" applyFont="1" applyFill="1" applyBorder="1" applyAlignment="1">
      <alignment vertical="center"/>
    </xf>
    <xf numFmtId="165" fontId="6" fillId="7" borderId="0" xfId="0" applyNumberFormat="1" applyFont="1" applyFill="1"/>
    <xf numFmtId="0" fontId="6" fillId="7" borderId="0" xfId="0" applyFont="1" applyFill="1"/>
    <xf numFmtId="164" fontId="6" fillId="7" borderId="0" xfId="0" applyNumberFormat="1" applyFont="1" applyFill="1"/>
    <xf numFmtId="43" fontId="9" fillId="2" borderId="1" xfId="1" applyFont="1" applyFill="1" applyBorder="1" applyAlignment="1">
      <alignment vertical="center"/>
    </xf>
    <xf numFmtId="165" fontId="9" fillId="0" borderId="1" xfId="1" applyNumberFormat="1" applyFont="1" applyFill="1" applyBorder="1" applyAlignment="1">
      <alignment vertical="center"/>
    </xf>
    <xf numFmtId="0" fontId="9" fillId="0" borderId="0" xfId="0" applyFont="1" applyAlignment="1">
      <alignment horizontal="center" vertical="center"/>
    </xf>
    <xf numFmtId="0" fontId="9" fillId="0" borderId="0" xfId="0" applyFont="1"/>
    <xf numFmtId="164" fontId="5" fillId="0" borderId="0" xfId="1" applyNumberFormat="1" applyFont="1" applyFill="1" applyBorder="1" applyAlignment="1">
      <alignment horizontal="right"/>
    </xf>
    <xf numFmtId="164" fontId="5" fillId="0" borderId="0" xfId="1" applyNumberFormat="1" applyFont="1" applyFill="1" applyBorder="1" applyAlignment="1">
      <alignment horizontal="right" vertical="center"/>
    </xf>
    <xf numFmtId="164" fontId="9" fillId="0" borderId="0" xfId="1" applyNumberFormat="1" applyFont="1" applyFill="1" applyBorder="1" applyAlignment="1">
      <alignment horizontal="right"/>
    </xf>
    <xf numFmtId="43" fontId="9" fillId="0" borderId="0" xfId="1" applyFont="1" applyFill="1" applyBorder="1" applyAlignment="1">
      <alignment horizontal="right"/>
    </xf>
    <xf numFmtId="9" fontId="6" fillId="0" borderId="0" xfId="2" applyFont="1" applyFill="1"/>
    <xf numFmtId="164" fontId="5" fillId="2" borderId="1" xfId="1" applyNumberFormat="1" applyFont="1" applyFill="1" applyBorder="1" applyAlignment="1">
      <alignment vertical="center" wrapText="1"/>
    </xf>
    <xf numFmtId="164" fontId="10" fillId="7" borderId="1" xfId="1" applyNumberFormat="1" applyFont="1" applyFill="1" applyBorder="1" applyAlignment="1">
      <alignment vertical="center"/>
    </xf>
    <xf numFmtId="164" fontId="5" fillId="0" borderId="0" xfId="1" applyNumberFormat="1" applyFont="1" applyBorder="1"/>
    <xf numFmtId="164" fontId="5" fillId="0" borderId="0" xfId="1" applyNumberFormat="1" applyFont="1" applyFill="1" applyBorder="1" applyAlignment="1">
      <alignment horizontal="center" vertical="center" wrapText="1"/>
    </xf>
    <xf numFmtId="164" fontId="9" fillId="2" borderId="0" xfId="1" applyNumberFormat="1" applyFont="1" applyFill="1" applyBorder="1" applyAlignment="1">
      <alignment horizontal="right"/>
    </xf>
    <xf numFmtId="0" fontId="6" fillId="0" borderId="1" xfId="0" applyFont="1" applyFill="1" applyBorder="1" applyAlignment="1">
      <alignment vertical="center"/>
    </xf>
    <xf numFmtId="0" fontId="5" fillId="3" borderId="1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 wrapText="1"/>
    </xf>
    <xf numFmtId="0" fontId="9" fillId="0" borderId="1" xfId="0" applyFont="1" applyFill="1" applyBorder="1" applyAlignment="1">
      <alignment horizontal="left" vertical="center"/>
    </xf>
    <xf numFmtId="0" fontId="9" fillId="0" borderId="1" xfId="0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left" vertical="center" wrapText="1"/>
    </xf>
    <xf numFmtId="0" fontId="9" fillId="0" borderId="0" xfId="0" applyFont="1" applyFill="1" applyAlignment="1">
      <alignment horizontal="center" vertical="center"/>
    </xf>
    <xf numFmtId="0" fontId="9" fillId="0" borderId="0" xfId="0" applyFont="1" applyFill="1"/>
    <xf numFmtId="0" fontId="6" fillId="0" borderId="0" xfId="0" applyFont="1" applyFill="1"/>
    <xf numFmtId="0" fontId="5" fillId="0" borderId="0" xfId="0" applyFont="1" applyFill="1" applyAlignment="1">
      <alignment horizontal="center"/>
    </xf>
    <xf numFmtId="0" fontId="7" fillId="0" borderId="0" xfId="0" applyFont="1" applyFill="1" applyAlignment="1">
      <alignment horizontal="center"/>
    </xf>
    <xf numFmtId="0" fontId="5" fillId="3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 wrapText="1"/>
    </xf>
    <xf numFmtId="0" fontId="5" fillId="3" borderId="2" xfId="0" applyFont="1" applyFill="1" applyBorder="1" applyAlignment="1">
      <alignment horizontal="center" vertical="center" wrapText="1"/>
    </xf>
    <xf numFmtId="0" fontId="5" fillId="3" borderId="3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</cellXfs>
  <cellStyles count="3">
    <cellStyle name="Обычный" xfId="0" builtinId="0"/>
    <cellStyle name="Процентный" xfId="2" builtinId="5"/>
    <cellStyle name="Финансовый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V.ISHMATOVA/Desktop/&#1044;&#1077;&#1073;&#1080;&#1090;&#1086;&#1088;&#1099;,&#1082;&#1088;&#1077;&#1076;&#1080;&#1090;&#1086;&#1088;&#1099;%20&#1089;&#1090;&#1072;&#1085;&#1094;&#1080;&#1080;%202023,2024,2025/_&#1089;&#1074;&#1077;&#1076;&#1077;&#1085;&#1080;&#1103;_&#1044;_&#1090;,&#1050;_&#1090;%20%202025-2026%20(new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д-т к-т на 21.05.2021"/>
      <sheetName val="28,052021"/>
      <sheetName val="д-т к-т на 11.06.2021 (3)"/>
      <sheetName val="д-т к-т на 17.06.2021 (4)"/>
      <sheetName val="д-т к-т на 25.06.2021 (5)"/>
      <sheetName val="д-т к-т на 08.07.2021 (7)"/>
      <sheetName val="д-т к-т на 15.07.2021 (8)"/>
      <sheetName val="д-т к-т на 01.07.2021 (8)"/>
      <sheetName val="д-т к-т на 23.07.2021 (9)"/>
      <sheetName val="д-т к-т на 30.07.2021 (10)"/>
      <sheetName val="1.2023 с Ангреном"/>
      <sheetName val="01,01,2024 тэс"/>
      <sheetName val="01.01.2025 тэс "/>
      <sheetName val="01.02.2025 тэс "/>
      <sheetName val="13.02.2025 тэс"/>
      <sheetName val="27.02.2025 тэс "/>
      <sheetName val="01.03.2025 тэс операт."/>
      <sheetName val="13.03.2025 тэс операт."/>
      <sheetName val="20.03.2025 тэс операт."/>
      <sheetName val="27.03.2025 тэс операт."/>
      <sheetName val="01.04.2025 тэс операт. (2)"/>
      <sheetName val="10.04.2025 тэс операт. "/>
      <sheetName val="17.04.2025 тэс операт."/>
      <sheetName val="24.04.2025 тэс операт."/>
      <sheetName val="01.05.2025 тэс операт."/>
      <sheetName val="15.05.2025 тэс операт."/>
      <sheetName val="22.05.2025 тэс операт."/>
      <sheetName val="29.05.2025 тэс операт."/>
      <sheetName val="01.06.2025 тэс операт."/>
      <sheetName val="12.06.2025 тэс операт. (2)"/>
      <sheetName val="18.06.2025 тэс операт. (3)"/>
      <sheetName val="25.06.2025 тэс операт. (4)"/>
      <sheetName val="30.06.2025 тэс операт."/>
      <sheetName val="01.07.2025 тэс операт."/>
      <sheetName val="17.07.2025 тэс операт."/>
      <sheetName val="24.07.2025 тэс операт."/>
      <sheetName val="31.07.2025 тэс операт."/>
      <sheetName val="01.08.2025 тэс операт."/>
      <sheetName val="01.08.2025 тэс операт. (2)"/>
      <sheetName val="14.08.2025 тэс операт."/>
      <sheetName val="21.08.2025 тэс операт."/>
      <sheetName val="28.08.2025 тэс операт."/>
      <sheetName val="01.09.2025 тэс операт."/>
      <sheetName val="11.09.2025 тэс операт. "/>
      <sheetName val="10.09.2025 тэс операт."/>
      <sheetName val="17.09.2025 тэс операт. "/>
      <sheetName val="25.09.2025 тэс операт."/>
      <sheetName val="01.10.2025 тэс операт."/>
      <sheetName val="15.10.2025 тэс операт. "/>
      <sheetName val="22.10.2025 тэс операт."/>
      <sheetName val="29.10.2025 тэс операт."/>
      <sheetName val="01.11.2025 тэс операт."/>
      <sheetName val="01.11.2025 тэс операт. (2)"/>
      <sheetName val="01.10.2025 тэс и филиалы"/>
      <sheetName val="19.11.2025 тэс операт. "/>
      <sheetName val="26.11.2025 тэс операт."/>
      <sheetName val="27.11.2025 тэс операт."/>
      <sheetName val="01.12.2025 тэс операт."/>
      <sheetName val="17.12.2025 тэс операт. "/>
      <sheetName val="24.12.2025 тэс операт."/>
      <sheetName val="01.01.2026 тэс операт. "/>
      <sheetName val="01.01.2025 тэс  (2)"/>
      <sheetName val="14.01.2026 тэс операт.  (2)"/>
      <sheetName val="21.01.2026 тэс операт."/>
      <sheetName val="28.01.2026 тэс операт."/>
      <sheetName val="01.02.2026 тэс операт."/>
      <sheetName val="11.02.2026 тэс операт. "/>
      <sheetName val="18.02.2026 тэс операт."/>
      <sheetName val="25.02.2026 тэс операт."/>
      <sheetName val="01.03.2026 тэс операт."/>
      <sheetName val="18.03.2026 тэс операт."/>
      <sheetName val="01.01.2026 тэс с Тахиаташ ТЭС"/>
      <sheetName val="01.04.2026 тэс опер.с Тахиат "/>
      <sheetName val="15.04.2026 тэс опер.с Тахиат"/>
      <sheetName val="22.04.2026 тэс опер.с Тахиаташ"/>
      <sheetName val="01.05.2026 тэс опер.с Тахиат"/>
      <sheetName val="20.05.2026 тэс опер.с Тахиа "/>
      <sheetName val="01.06.2026 тэс опер.с Тах"/>
      <sheetName val="05.06.2026 тэс опер.с Тах (2)"/>
      <sheetName val="10.06.2026 тэс опер.с Тах (3)"/>
      <sheetName val="17.06.2026 тэс опер.с Тах"/>
      <sheetName val="24.06.2026 тэс опер.с Тах"/>
      <sheetName val="01.07.2026 тэс опер.с Тах "/>
      <sheetName val="08.07.2026 тэс опер.с Тах"/>
      <sheetName val="15.07.2026 тэс опер.с Тах"/>
      <sheetName val="22.07.2026 тэс опер.с Тах "/>
      <sheetName val="д-т к-т на 1.11.   с пен (7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>
        <row r="7">
          <cell r="D7">
            <v>2013137.27</v>
          </cell>
        </row>
        <row r="8">
          <cell r="D8">
            <v>10855.870999999999</v>
          </cell>
        </row>
        <row r="9">
          <cell r="D9">
            <v>2954789.5999999996</v>
          </cell>
        </row>
        <row r="10">
          <cell r="D10">
            <v>19792.683000000001</v>
          </cell>
        </row>
        <row r="11">
          <cell r="D11">
            <v>101128.41</v>
          </cell>
        </row>
        <row r="12">
          <cell r="D12">
            <v>396695.72000000003</v>
          </cell>
        </row>
        <row r="13">
          <cell r="D13">
            <v>29623.795000000002</v>
          </cell>
        </row>
        <row r="15">
          <cell r="D15">
            <v>79944.600000000006</v>
          </cell>
        </row>
        <row r="16">
          <cell r="D16">
            <v>130748</v>
          </cell>
        </row>
        <row r="17">
          <cell r="D17">
            <v>125462.85900000003</v>
          </cell>
        </row>
        <row r="25">
          <cell r="D25">
            <v>348731.5</v>
          </cell>
        </row>
        <row r="26">
          <cell r="D26">
            <v>25436.837</v>
          </cell>
        </row>
        <row r="27">
          <cell r="D27">
            <v>6657.7</v>
          </cell>
        </row>
        <row r="28">
          <cell r="D28">
            <v>9472.9130000000005</v>
          </cell>
        </row>
        <row r="29">
          <cell r="D29">
            <v>7530.49</v>
          </cell>
        </row>
        <row r="30">
          <cell r="D30">
            <v>4578.1350000000002</v>
          </cell>
        </row>
        <row r="31">
          <cell r="D31">
            <v>6042.5109999999995</v>
          </cell>
        </row>
        <row r="33">
          <cell r="D33">
            <v>237369.76</v>
          </cell>
        </row>
        <row r="34">
          <cell r="D34">
            <v>371220.12099999998</v>
          </cell>
        </row>
        <row r="35">
          <cell r="D35">
            <v>1139017.9929999998</v>
          </cell>
        </row>
      </sheetData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>
        <row r="14">
          <cell r="C14">
            <v>1951021.2</v>
          </cell>
        </row>
        <row r="32">
          <cell r="C32">
            <v>109356.75</v>
          </cell>
        </row>
      </sheetData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  <pageSetUpPr fitToPage="1"/>
  </sheetPr>
  <dimension ref="A1:BG39"/>
  <sheetViews>
    <sheetView tabSelected="1" zoomScale="40" zoomScaleNormal="40" zoomScaleSheetLayoutView="40" workbookViewId="0">
      <selection activeCell="L9" sqref="L9"/>
    </sheetView>
  </sheetViews>
  <sheetFormatPr defaultColWidth="20.28515625" defaultRowHeight="28.5" x14ac:dyDescent="0.45"/>
  <cols>
    <col min="1" max="1" width="7.28515625" style="3" customWidth="1"/>
    <col min="2" max="2" width="77.42578125" style="3" customWidth="1"/>
    <col min="3" max="3" width="32.140625" style="3" customWidth="1"/>
    <col min="4" max="4" width="34.5703125" style="3" customWidth="1"/>
    <col min="5" max="5" width="31.85546875" style="3" customWidth="1"/>
    <col min="6" max="6" width="38" style="3" hidden="1" customWidth="1"/>
    <col min="7" max="7" width="25" style="3" customWidth="1"/>
    <col min="8" max="8" width="29.28515625" style="3" customWidth="1"/>
    <col min="9" max="9" width="28" style="3" customWidth="1"/>
    <col min="10" max="10" width="27" style="3" hidden="1" customWidth="1"/>
    <col min="11" max="11" width="30.42578125" style="3" customWidth="1"/>
    <col min="12" max="12" width="26.5703125" style="3" bestFit="1" customWidth="1"/>
    <col min="13" max="13" width="32.42578125" style="3" customWidth="1"/>
    <col min="14" max="14" width="27.5703125" style="3" customWidth="1"/>
    <col min="15" max="15" width="26.140625" style="3" hidden="1" customWidth="1"/>
    <col min="16" max="16" width="31.7109375" style="3" customWidth="1"/>
    <col min="17" max="18" width="28.28515625" style="3" hidden="1" customWidth="1"/>
    <col min="19" max="19" width="26.28515625" style="3" customWidth="1"/>
    <col min="20" max="20" width="25.85546875" style="3" customWidth="1"/>
    <col min="21" max="21" width="29.28515625" style="3" customWidth="1"/>
    <col min="22" max="22" width="29.85546875" style="2" customWidth="1"/>
    <col min="23" max="23" width="28.7109375" style="2" bestFit="1" customWidth="1"/>
    <col min="24" max="25" width="30.140625" style="2" bestFit="1" customWidth="1"/>
    <col min="26" max="59" width="20.28515625" style="2"/>
    <col min="60" max="16384" width="20.28515625" style="3"/>
  </cols>
  <sheetData>
    <row r="1" spans="1:59" ht="93" customHeight="1" x14ac:dyDescent="0.45">
      <c r="A1" s="69" t="s">
        <v>43</v>
      </c>
      <c r="B1" s="69"/>
      <c r="C1" s="69"/>
      <c r="D1" s="69"/>
      <c r="E1" s="69"/>
      <c r="F1" s="69"/>
      <c r="G1" s="69"/>
      <c r="H1" s="69"/>
      <c r="I1" s="69"/>
      <c r="J1" s="69"/>
      <c r="K1" s="69"/>
      <c r="L1" s="69"/>
      <c r="M1" s="69"/>
      <c r="N1" s="69"/>
      <c r="O1" s="69"/>
      <c r="P1" s="69"/>
      <c r="Q1" s="69"/>
      <c r="R1" s="69"/>
      <c r="S1" s="69"/>
      <c r="T1" s="69"/>
      <c r="U1" s="1"/>
    </row>
    <row r="2" spans="1:59" ht="24.75" customHeight="1" x14ac:dyDescent="0.45">
      <c r="C2" s="4"/>
      <c r="E2" s="5"/>
      <c r="F2" s="6"/>
      <c r="S2" s="6"/>
      <c r="T2" s="6"/>
      <c r="U2" s="7" t="s">
        <v>0</v>
      </c>
    </row>
    <row r="3" spans="1:59" ht="39" customHeight="1" x14ac:dyDescent="0.45">
      <c r="A3" s="66" t="s">
        <v>1</v>
      </c>
      <c r="B3" s="66" t="s">
        <v>2</v>
      </c>
      <c r="C3" s="67" t="s">
        <v>3</v>
      </c>
      <c r="D3" s="66" t="s">
        <v>44</v>
      </c>
      <c r="E3" s="67" t="s">
        <v>4</v>
      </c>
      <c r="F3" s="67" t="s">
        <v>5</v>
      </c>
      <c r="G3" s="65" t="s">
        <v>6</v>
      </c>
      <c r="H3" s="65"/>
      <c r="I3" s="65"/>
      <c r="J3" s="65"/>
      <c r="K3" s="65"/>
      <c r="L3" s="65"/>
      <c r="M3" s="65"/>
      <c r="N3" s="65"/>
      <c r="O3" s="65"/>
      <c r="P3" s="65"/>
      <c r="Q3" s="65"/>
      <c r="R3" s="65"/>
      <c r="S3" s="65"/>
      <c r="T3" s="65"/>
      <c r="U3" s="55"/>
    </row>
    <row r="4" spans="1:59" ht="141" customHeight="1" x14ac:dyDescent="0.45">
      <c r="A4" s="66"/>
      <c r="B4" s="66"/>
      <c r="C4" s="68"/>
      <c r="D4" s="66"/>
      <c r="E4" s="68"/>
      <c r="F4" s="68"/>
      <c r="G4" s="8" t="s">
        <v>7</v>
      </c>
      <c r="H4" s="9" t="s">
        <v>8</v>
      </c>
      <c r="I4" s="9" t="s">
        <v>9</v>
      </c>
      <c r="J4" s="11" t="s">
        <v>10</v>
      </c>
      <c r="K4" s="8" t="s">
        <v>11</v>
      </c>
      <c r="L4" s="8" t="s">
        <v>12</v>
      </c>
      <c r="M4" s="9" t="s">
        <v>13</v>
      </c>
      <c r="N4" s="9" t="s">
        <v>45</v>
      </c>
      <c r="O4" s="10" t="s">
        <v>14</v>
      </c>
      <c r="P4" s="9" t="s">
        <v>15</v>
      </c>
      <c r="Q4" s="11" t="s">
        <v>16</v>
      </c>
      <c r="R4" s="11" t="s">
        <v>17</v>
      </c>
      <c r="S4" s="9" t="s">
        <v>18</v>
      </c>
      <c r="T4" s="9" t="s">
        <v>19</v>
      </c>
      <c r="U4" s="12" t="s">
        <v>20</v>
      </c>
    </row>
    <row r="5" spans="1:59" ht="60" customHeight="1" x14ac:dyDescent="0.45">
      <c r="A5" s="13"/>
      <c r="B5" s="14" t="s">
        <v>21</v>
      </c>
      <c r="C5" s="15">
        <f>C6+C9+C15+C16+C17+C14</f>
        <v>7813200.0079999994</v>
      </c>
      <c r="D5" s="15">
        <f>D6+D9+D15+D16+D17+D14</f>
        <v>5848895.1095188912</v>
      </c>
      <c r="E5" s="15">
        <f>E6+E9+E15+E16+E17+E14</f>
        <v>-1964304.8984811089</v>
      </c>
      <c r="F5" s="15">
        <f t="shared" ref="F5" si="0">F6+F9+F15+F16+F17</f>
        <v>-1962901.172962219</v>
      </c>
      <c r="G5" s="15">
        <f>G6+G9+G15+G16+G17+G14</f>
        <v>10455.200000000001</v>
      </c>
      <c r="H5" s="15">
        <f t="shared" ref="H5:U5" si="1">H6+H9+H15+H16+H17+H14</f>
        <v>4241113.9000000004</v>
      </c>
      <c r="I5" s="15">
        <f t="shared" si="1"/>
        <v>668828.23151889001</v>
      </c>
      <c r="J5" s="15">
        <f t="shared" si="1"/>
        <v>0</v>
      </c>
      <c r="K5" s="15">
        <f t="shared" si="1"/>
        <v>427218.80000000005</v>
      </c>
      <c r="L5" s="15">
        <f t="shared" si="1"/>
        <v>2003.2</v>
      </c>
      <c r="M5" s="15">
        <f t="shared" si="1"/>
        <v>6088.4</v>
      </c>
      <c r="N5" s="15">
        <f t="shared" si="1"/>
        <v>199973.68</v>
      </c>
      <c r="O5" s="15">
        <f t="shared" si="1"/>
        <v>0</v>
      </c>
      <c r="P5" s="15">
        <f t="shared" si="1"/>
        <v>39429.898000000001</v>
      </c>
      <c r="Q5" s="15">
        <f t="shared" si="1"/>
        <v>0</v>
      </c>
      <c r="R5" s="15">
        <f t="shared" si="1"/>
        <v>0</v>
      </c>
      <c r="S5" s="15">
        <f t="shared" si="1"/>
        <v>0</v>
      </c>
      <c r="T5" s="15">
        <f t="shared" si="1"/>
        <v>253783.8</v>
      </c>
      <c r="U5" s="15">
        <f t="shared" si="1"/>
        <v>0</v>
      </c>
      <c r="V5" s="16"/>
      <c r="W5" s="16"/>
    </row>
    <row r="6" spans="1:59" ht="59.25" customHeight="1" x14ac:dyDescent="0.45">
      <c r="A6" s="13"/>
      <c r="B6" s="14" t="s">
        <v>22</v>
      </c>
      <c r="C6" s="15">
        <f>C7+C8+C10+C11+C12+C13</f>
        <v>2571233.7490000003</v>
      </c>
      <c r="D6" s="15">
        <f>D7+D8+D10+D11+D12+D13</f>
        <v>1833715.66091889</v>
      </c>
      <c r="E6" s="15">
        <f t="shared" ref="E6:U6" si="2">E7+E8+E10+E11+E12+E13</f>
        <v>-737518.08808110992</v>
      </c>
      <c r="F6" s="15">
        <f t="shared" si="2"/>
        <v>-890295.46256221959</v>
      </c>
      <c r="G6" s="15">
        <f t="shared" si="2"/>
        <v>2690.9</v>
      </c>
      <c r="H6" s="15">
        <f t="shared" si="2"/>
        <v>987108</v>
      </c>
      <c r="I6" s="15">
        <f t="shared" si="2"/>
        <v>491175.28091889003</v>
      </c>
      <c r="J6" s="15">
        <f t="shared" si="2"/>
        <v>0</v>
      </c>
      <c r="K6" s="15">
        <f t="shared" si="2"/>
        <v>54029.9</v>
      </c>
      <c r="L6" s="15">
        <f t="shared" si="2"/>
        <v>0</v>
      </c>
      <c r="M6" s="15">
        <f t="shared" si="2"/>
        <v>6088.4</v>
      </c>
      <c r="N6" s="15">
        <f t="shared" si="2"/>
        <v>199973.68</v>
      </c>
      <c r="O6" s="15">
        <f t="shared" si="2"/>
        <v>0</v>
      </c>
      <c r="P6" s="15">
        <f t="shared" si="2"/>
        <v>0</v>
      </c>
      <c r="Q6" s="15">
        <f t="shared" si="2"/>
        <v>0</v>
      </c>
      <c r="R6" s="15">
        <f t="shared" si="2"/>
        <v>0</v>
      </c>
      <c r="S6" s="15">
        <f t="shared" si="2"/>
        <v>0</v>
      </c>
      <c r="T6" s="15">
        <f t="shared" si="2"/>
        <v>92649.5</v>
      </c>
      <c r="U6" s="15">
        <f t="shared" si="2"/>
        <v>0</v>
      </c>
      <c r="V6" s="16"/>
      <c r="W6" s="16"/>
    </row>
    <row r="7" spans="1:59" s="22" customFormat="1" ht="65.25" customHeight="1" x14ac:dyDescent="0.45">
      <c r="A7" s="56"/>
      <c r="B7" s="57" t="s">
        <v>23</v>
      </c>
      <c r="C7" s="17">
        <f>SUM('[1]01.01.2026 тэс операт. '!D7)</f>
        <v>2013137.27</v>
      </c>
      <c r="D7" s="17">
        <f t="shared" ref="D7:D17" si="3">SUM(G7:U7)</f>
        <v>1241111.58</v>
      </c>
      <c r="E7" s="17">
        <f t="shared" ref="E7:E17" si="4">SUM(D7-C7)</f>
        <v>-772025.69</v>
      </c>
      <c r="F7" s="17">
        <f>F8+F9+F11+F12+F13+F15</f>
        <v>-924803.0644811095</v>
      </c>
      <c r="G7" s="17"/>
      <c r="H7" s="17">
        <v>987108</v>
      </c>
      <c r="I7" s="18"/>
      <c r="J7" s="18"/>
      <c r="K7" s="18">
        <v>54029.9</v>
      </c>
      <c r="L7" s="18"/>
      <c r="M7" s="18"/>
      <c r="N7" s="18">
        <v>199973.68</v>
      </c>
      <c r="O7" s="18"/>
      <c r="P7" s="19"/>
      <c r="Q7" s="19"/>
      <c r="R7" s="19"/>
      <c r="S7" s="20"/>
      <c r="T7" s="21"/>
      <c r="U7" s="54"/>
      <c r="V7" s="16"/>
      <c r="W7" s="2"/>
      <c r="X7" s="16"/>
      <c r="Y7" s="16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</row>
    <row r="8" spans="1:59" ht="71.25" customHeight="1" x14ac:dyDescent="0.45">
      <c r="A8" s="58">
        <v>1</v>
      </c>
      <c r="B8" s="57" t="s">
        <v>24</v>
      </c>
      <c r="C8" s="17">
        <f>SUM('[1]01.01.2026 тэс операт. '!D8)</f>
        <v>10855.870999999999</v>
      </c>
      <c r="D8" s="23">
        <f t="shared" si="3"/>
        <v>1197.0809188899998</v>
      </c>
      <c r="E8" s="23">
        <f t="shared" si="4"/>
        <v>-9658.7900811099989</v>
      </c>
      <c r="F8" s="23">
        <f t="shared" ref="F8:F17" si="5">SUM(D8-C8)</f>
        <v>-9658.7900811099989</v>
      </c>
      <c r="G8" s="24"/>
      <c r="H8" s="24">
        <v>0</v>
      </c>
      <c r="I8" s="24">
        <v>1197.0809188899998</v>
      </c>
      <c r="J8" s="25"/>
      <c r="K8" s="25">
        <v>0</v>
      </c>
      <c r="L8" s="25"/>
      <c r="M8" s="25"/>
      <c r="N8" s="25">
        <v>0</v>
      </c>
      <c r="O8" s="25"/>
      <c r="P8" s="26"/>
      <c r="Q8" s="26"/>
      <c r="R8" s="26"/>
      <c r="S8" s="26"/>
      <c r="T8" s="24"/>
      <c r="U8" s="24"/>
      <c r="V8" s="16"/>
      <c r="X8" s="27"/>
      <c r="Y8" s="16"/>
    </row>
    <row r="9" spans="1:59" s="28" customFormat="1" ht="65.25" customHeight="1" x14ac:dyDescent="0.45">
      <c r="A9" s="58">
        <v>2</v>
      </c>
      <c r="B9" s="59" t="s">
        <v>25</v>
      </c>
      <c r="C9" s="17">
        <f>SUM('[1]01.01.2026 тэс операт. '!D9)</f>
        <v>2954789.5999999996</v>
      </c>
      <c r="D9" s="23">
        <f t="shared" si="3"/>
        <v>1950613.0506000002</v>
      </c>
      <c r="E9" s="23">
        <f t="shared" si="4"/>
        <v>-1004176.5493999994</v>
      </c>
      <c r="F9" s="23">
        <f t="shared" si="5"/>
        <v>-1004176.5493999994</v>
      </c>
      <c r="G9" s="26">
        <v>7764.3</v>
      </c>
      <c r="H9" s="24">
        <v>1558316.1</v>
      </c>
      <c r="I9" s="24">
        <v>5408.3506000000007</v>
      </c>
      <c r="J9" s="24">
        <v>0</v>
      </c>
      <c r="K9" s="24">
        <v>373188.9</v>
      </c>
      <c r="L9" s="24"/>
      <c r="M9" s="24"/>
      <c r="N9" s="24"/>
      <c r="O9" s="24"/>
      <c r="P9" s="26"/>
      <c r="Q9" s="26"/>
      <c r="R9" s="26"/>
      <c r="S9" s="26"/>
      <c r="T9" s="24">
        <v>5935.4</v>
      </c>
      <c r="U9" s="24"/>
      <c r="V9" s="16"/>
      <c r="W9" s="2"/>
      <c r="X9" s="27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</row>
    <row r="10" spans="1:59" ht="56.25" customHeight="1" x14ac:dyDescent="0.45">
      <c r="A10" s="58">
        <v>3</v>
      </c>
      <c r="B10" s="57" t="s">
        <v>26</v>
      </c>
      <c r="C10" s="17">
        <f>SUM('[1]01.01.2026 тэс операт. '!D10)</f>
        <v>19792.683000000001</v>
      </c>
      <c r="D10" s="23">
        <f t="shared" si="3"/>
        <v>21629.800000000003</v>
      </c>
      <c r="E10" s="23">
        <f t="shared" si="4"/>
        <v>1837.117000000002</v>
      </c>
      <c r="F10" s="23">
        <f t="shared" si="5"/>
        <v>1837.117000000002</v>
      </c>
      <c r="G10" s="26">
        <v>0</v>
      </c>
      <c r="H10" s="24">
        <v>0</v>
      </c>
      <c r="I10" s="24">
        <v>17202.400000000001</v>
      </c>
      <c r="J10" s="24">
        <v>0</v>
      </c>
      <c r="K10" s="24">
        <v>0</v>
      </c>
      <c r="L10" s="24"/>
      <c r="M10" s="24"/>
      <c r="N10" s="24"/>
      <c r="O10" s="24"/>
      <c r="P10" s="26"/>
      <c r="Q10" s="26"/>
      <c r="R10" s="26"/>
      <c r="S10" s="26"/>
      <c r="T10" s="24">
        <v>4427.3999999999996</v>
      </c>
      <c r="U10" s="24"/>
      <c r="V10" s="16"/>
      <c r="X10" s="27"/>
    </row>
    <row r="11" spans="1:59" ht="52.5" customHeight="1" x14ac:dyDescent="0.45">
      <c r="A11" s="58">
        <v>4</v>
      </c>
      <c r="B11" s="57" t="s">
        <v>27</v>
      </c>
      <c r="C11" s="17">
        <f>SUM('[1]01.01.2026 тэс операт. '!D11)</f>
        <v>101128.41</v>
      </c>
      <c r="D11" s="23">
        <f t="shared" si="3"/>
        <v>64127.899999999994</v>
      </c>
      <c r="E11" s="23">
        <f t="shared" si="4"/>
        <v>-37000.510000000009</v>
      </c>
      <c r="F11" s="23">
        <f t="shared" si="5"/>
        <v>-37000.510000000009</v>
      </c>
      <c r="G11" s="29">
        <v>320.5</v>
      </c>
      <c r="H11" s="24"/>
      <c r="I11" s="24">
        <v>27583.8</v>
      </c>
      <c r="J11" s="25"/>
      <c r="K11" s="25">
        <v>0</v>
      </c>
      <c r="L11" s="25"/>
      <c r="M11" s="25">
        <v>6088.4</v>
      </c>
      <c r="N11" s="24"/>
      <c r="O11" s="24"/>
      <c r="P11" s="26"/>
      <c r="Q11" s="26"/>
      <c r="R11" s="26"/>
      <c r="S11" s="26"/>
      <c r="T11" s="30">
        <v>30135.200000000001</v>
      </c>
      <c r="U11" s="24"/>
      <c r="V11" s="16"/>
      <c r="X11" s="27"/>
    </row>
    <row r="12" spans="1:59" ht="61.5" customHeight="1" x14ac:dyDescent="0.45">
      <c r="A12" s="58">
        <v>5</v>
      </c>
      <c r="B12" s="57" t="s">
        <v>28</v>
      </c>
      <c r="C12" s="17">
        <f>SUM('[1]01.01.2026 тэс операт. '!D12)</f>
        <v>396695.72000000003</v>
      </c>
      <c r="D12" s="23">
        <f t="shared" si="3"/>
        <v>503809.80000000005</v>
      </c>
      <c r="E12" s="23">
        <f t="shared" si="4"/>
        <v>107114.08000000002</v>
      </c>
      <c r="F12" s="23">
        <f t="shared" si="5"/>
        <v>107114.08000000002</v>
      </c>
      <c r="G12" s="26">
        <v>2370.4</v>
      </c>
      <c r="H12" s="24">
        <v>0</v>
      </c>
      <c r="I12" s="24">
        <v>445192</v>
      </c>
      <c r="J12" s="25"/>
      <c r="K12" s="25">
        <v>0</v>
      </c>
      <c r="L12" s="25"/>
      <c r="M12" s="25"/>
      <c r="N12" s="25">
        <v>0</v>
      </c>
      <c r="O12" s="25"/>
      <c r="P12" s="26"/>
      <c r="Q12" s="26"/>
      <c r="R12" s="26"/>
      <c r="S12" s="26"/>
      <c r="T12" s="24">
        <v>56247.4</v>
      </c>
      <c r="U12" s="24"/>
      <c r="V12" s="16"/>
      <c r="X12" s="27"/>
      <c r="Y12" s="16"/>
    </row>
    <row r="13" spans="1:59" ht="64.5" customHeight="1" x14ac:dyDescent="0.45">
      <c r="A13" s="58">
        <v>6</v>
      </c>
      <c r="B13" s="57" t="s">
        <v>29</v>
      </c>
      <c r="C13" s="17">
        <f>SUM('[1]01.01.2026 тэс операт. '!D13)</f>
        <v>29623.795000000002</v>
      </c>
      <c r="D13" s="23">
        <f t="shared" si="3"/>
        <v>1839.5</v>
      </c>
      <c r="E13" s="23">
        <f t="shared" si="4"/>
        <v>-27784.295000000002</v>
      </c>
      <c r="F13" s="23">
        <f t="shared" si="5"/>
        <v>-27784.295000000002</v>
      </c>
      <c r="G13" s="26">
        <v>0</v>
      </c>
      <c r="H13" s="24"/>
      <c r="I13" s="24">
        <v>0</v>
      </c>
      <c r="J13" s="25"/>
      <c r="K13" s="25"/>
      <c r="L13" s="25"/>
      <c r="M13" s="25"/>
      <c r="N13" s="25"/>
      <c r="O13" s="25"/>
      <c r="P13" s="26"/>
      <c r="Q13" s="26"/>
      <c r="R13" s="26"/>
      <c r="S13" s="26"/>
      <c r="T13" s="24">
        <v>1839.5</v>
      </c>
      <c r="U13" s="24"/>
      <c r="V13" s="16"/>
      <c r="X13" s="27"/>
    </row>
    <row r="14" spans="1:59" s="38" customFormat="1" ht="64.5" customHeight="1" x14ac:dyDescent="0.45">
      <c r="A14" s="31">
        <v>7</v>
      </c>
      <c r="B14" s="32" t="s">
        <v>30</v>
      </c>
      <c r="C14" s="33">
        <f>SUM('[1]01.04.2026 тэс опер.с Тахиат '!C14)</f>
        <v>1951021.2</v>
      </c>
      <c r="D14" s="34">
        <f t="shared" si="3"/>
        <v>1796840.1</v>
      </c>
      <c r="E14" s="34">
        <f t="shared" si="4"/>
        <v>-154181.09999999986</v>
      </c>
      <c r="F14" s="34"/>
      <c r="G14" s="35"/>
      <c r="H14" s="35">
        <v>1665669.3</v>
      </c>
      <c r="I14" s="35">
        <v>1357.1</v>
      </c>
      <c r="J14" s="36"/>
      <c r="K14" s="36"/>
      <c r="L14" s="36"/>
      <c r="M14" s="36"/>
      <c r="N14" s="36"/>
      <c r="O14" s="36"/>
      <c r="P14" s="35"/>
      <c r="Q14" s="35"/>
      <c r="R14" s="35"/>
      <c r="S14" s="35"/>
      <c r="T14" s="35">
        <v>129813.7</v>
      </c>
      <c r="U14" s="35"/>
      <c r="V14" s="37"/>
      <c r="X14" s="39"/>
    </row>
    <row r="15" spans="1:59" s="28" customFormat="1" ht="60.75" customHeight="1" x14ac:dyDescent="0.45">
      <c r="A15" s="58">
        <v>8</v>
      </c>
      <c r="B15" s="57" t="s">
        <v>31</v>
      </c>
      <c r="C15" s="17">
        <f>SUM('[1]01.01.2026 тэс операт. '!D15)</f>
        <v>79944.600000000006</v>
      </c>
      <c r="D15" s="23">
        <f t="shared" si="3"/>
        <v>126647.6</v>
      </c>
      <c r="E15" s="23">
        <f t="shared" si="4"/>
        <v>46703</v>
      </c>
      <c r="F15" s="23">
        <f t="shared" si="5"/>
        <v>46703</v>
      </c>
      <c r="G15" s="24">
        <v>0</v>
      </c>
      <c r="H15" s="24">
        <v>30020.5</v>
      </c>
      <c r="I15" s="24">
        <v>72565.3</v>
      </c>
      <c r="J15" s="25"/>
      <c r="K15" s="25">
        <v>0</v>
      </c>
      <c r="L15" s="25"/>
      <c r="M15" s="40"/>
      <c r="N15" s="25"/>
      <c r="O15" s="25"/>
      <c r="P15" s="26"/>
      <c r="Q15" s="26"/>
      <c r="R15" s="26"/>
      <c r="S15" s="26"/>
      <c r="T15" s="24">
        <v>24061.8</v>
      </c>
      <c r="U15" s="24"/>
      <c r="V15" s="16"/>
      <c r="W15" s="2"/>
      <c r="X15" s="27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2"/>
      <c r="BG15" s="2"/>
    </row>
    <row r="16" spans="1:59" s="28" customFormat="1" ht="54" customHeight="1" x14ac:dyDescent="0.45">
      <c r="A16" s="58">
        <v>9</v>
      </c>
      <c r="B16" s="57" t="s">
        <v>32</v>
      </c>
      <c r="C16" s="17">
        <f>SUM('[1]01.01.2026 тэс операт. '!D16)</f>
        <v>130748</v>
      </c>
      <c r="D16" s="23">
        <f t="shared" si="3"/>
        <v>69875.100000000006</v>
      </c>
      <c r="E16" s="23">
        <f t="shared" si="4"/>
        <v>-60872.899999999994</v>
      </c>
      <c r="F16" s="23">
        <f t="shared" si="5"/>
        <v>-60872.899999999994</v>
      </c>
      <c r="G16" s="26">
        <v>0</v>
      </c>
      <c r="H16" s="24"/>
      <c r="I16" s="24">
        <v>66726.100000000006</v>
      </c>
      <c r="J16" s="25"/>
      <c r="K16" s="25">
        <v>0</v>
      </c>
      <c r="L16" s="41">
        <v>2003.2</v>
      </c>
      <c r="M16" s="25"/>
      <c r="N16" s="25">
        <v>0</v>
      </c>
      <c r="O16" s="25"/>
      <c r="P16" s="26"/>
      <c r="Q16" s="26"/>
      <c r="R16" s="26"/>
      <c r="S16" s="26"/>
      <c r="T16" s="24">
        <v>1145.8</v>
      </c>
      <c r="U16" s="24"/>
      <c r="V16" s="16"/>
      <c r="W16" s="2"/>
      <c r="X16" s="27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</row>
    <row r="17" spans="1:59" s="28" customFormat="1" ht="57" customHeight="1" x14ac:dyDescent="0.45">
      <c r="A17" s="58">
        <v>10</v>
      </c>
      <c r="B17" s="57" t="s">
        <v>33</v>
      </c>
      <c r="C17" s="17">
        <f>SUM('[1]01.01.2026 тэс операт. '!D17)</f>
        <v>125462.85900000003</v>
      </c>
      <c r="D17" s="23">
        <f t="shared" si="3"/>
        <v>71203.597999999998</v>
      </c>
      <c r="E17" s="23">
        <f t="shared" si="4"/>
        <v>-54259.261000000028</v>
      </c>
      <c r="F17" s="23">
        <f t="shared" si="5"/>
        <v>-54259.261000000028</v>
      </c>
      <c r="G17" s="24"/>
      <c r="H17" s="24">
        <v>0</v>
      </c>
      <c r="I17" s="24">
        <v>31596.1</v>
      </c>
      <c r="J17" s="24"/>
      <c r="K17" s="25">
        <v>0</v>
      </c>
      <c r="L17" s="25"/>
      <c r="M17" s="25"/>
      <c r="N17" s="25">
        <v>0</v>
      </c>
      <c r="O17" s="25"/>
      <c r="P17" s="26">
        <v>39429.898000000001</v>
      </c>
      <c r="Q17" s="26"/>
      <c r="R17" s="26"/>
      <c r="S17" s="26"/>
      <c r="T17" s="24">
        <v>177.6</v>
      </c>
      <c r="U17" s="24"/>
      <c r="V17" s="16"/>
      <c r="W17" s="2"/>
      <c r="X17" s="27"/>
      <c r="Y17" s="16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2"/>
      <c r="BF17" s="2"/>
      <c r="BG17" s="2"/>
    </row>
    <row r="18" spans="1:59" ht="32.25" customHeight="1" x14ac:dyDescent="0.45">
      <c r="A18" s="60"/>
      <c r="B18" s="61"/>
      <c r="C18" s="44"/>
      <c r="D18" s="45"/>
      <c r="E18" s="45"/>
      <c r="F18" s="45"/>
      <c r="G18" s="46"/>
      <c r="H18" s="46"/>
      <c r="I18" s="46"/>
      <c r="J18" s="47"/>
      <c r="K18" s="47"/>
      <c r="L18" s="47"/>
      <c r="M18" s="47"/>
      <c r="N18" s="47"/>
      <c r="O18" s="47"/>
      <c r="P18" s="46"/>
      <c r="Q18" s="46"/>
      <c r="R18" s="46"/>
      <c r="S18" s="46"/>
      <c r="T18" s="46"/>
      <c r="U18" s="46"/>
      <c r="X18" s="27"/>
    </row>
    <row r="19" spans="1:59" ht="18.75" customHeight="1" x14ac:dyDescent="0.45">
      <c r="A19" s="61"/>
      <c r="B19" s="61"/>
      <c r="C19" s="61"/>
      <c r="D19" s="61"/>
      <c r="E19" s="61"/>
      <c r="F19" s="61"/>
      <c r="G19" s="62"/>
      <c r="H19" s="62"/>
      <c r="I19" s="62"/>
      <c r="J19" s="48"/>
      <c r="K19" s="48"/>
      <c r="L19" s="48"/>
      <c r="M19" s="48"/>
      <c r="N19" s="62"/>
      <c r="O19" s="62"/>
      <c r="P19" s="62"/>
      <c r="Q19" s="62"/>
      <c r="R19" s="62"/>
      <c r="S19" s="62"/>
      <c r="T19" s="62"/>
      <c r="U19" s="62"/>
    </row>
    <row r="20" spans="1:59" ht="34.5" customHeight="1" x14ac:dyDescent="0.45">
      <c r="A20" s="62"/>
      <c r="B20" s="61"/>
      <c r="C20" s="62"/>
      <c r="D20" s="62"/>
      <c r="E20" s="62"/>
      <c r="F20" s="62"/>
      <c r="G20" s="62"/>
      <c r="H20" s="62"/>
      <c r="I20" s="62"/>
      <c r="J20" s="62"/>
      <c r="K20" s="62"/>
      <c r="L20" s="62"/>
      <c r="M20" s="62"/>
      <c r="N20" s="62"/>
      <c r="O20" s="62"/>
      <c r="P20" s="62"/>
      <c r="Q20" s="62"/>
      <c r="R20" s="62"/>
      <c r="S20" s="63"/>
      <c r="T20" s="63"/>
      <c r="U20" s="64" t="s">
        <v>0</v>
      </c>
    </row>
    <row r="21" spans="1:59" ht="36.75" customHeight="1" x14ac:dyDescent="0.45">
      <c r="A21" s="66" t="s">
        <v>1</v>
      </c>
      <c r="B21" s="66" t="s">
        <v>2</v>
      </c>
      <c r="C21" s="67" t="s">
        <v>34</v>
      </c>
      <c r="D21" s="66" t="s">
        <v>46</v>
      </c>
      <c r="E21" s="67" t="s">
        <v>35</v>
      </c>
      <c r="F21" s="67" t="s">
        <v>5</v>
      </c>
      <c r="G21" s="65" t="s">
        <v>6</v>
      </c>
      <c r="H21" s="65"/>
      <c r="I21" s="65"/>
      <c r="J21" s="65"/>
      <c r="K21" s="65"/>
      <c r="L21" s="65"/>
      <c r="M21" s="65"/>
      <c r="N21" s="65"/>
      <c r="O21" s="65"/>
      <c r="P21" s="65"/>
      <c r="Q21" s="65"/>
      <c r="R21" s="65"/>
      <c r="S21" s="65"/>
      <c r="T21" s="65"/>
      <c r="U21" s="55"/>
    </row>
    <row r="22" spans="1:59" ht="137.25" customHeight="1" x14ac:dyDescent="0.45">
      <c r="A22" s="66"/>
      <c r="B22" s="66"/>
      <c r="C22" s="68"/>
      <c r="D22" s="66"/>
      <c r="E22" s="68"/>
      <c r="F22" s="68"/>
      <c r="G22" s="8" t="s">
        <v>7</v>
      </c>
      <c r="H22" s="9" t="s">
        <v>8</v>
      </c>
      <c r="I22" s="9" t="s">
        <v>36</v>
      </c>
      <c r="J22" s="11" t="s">
        <v>10</v>
      </c>
      <c r="K22" s="8" t="s">
        <v>11</v>
      </c>
      <c r="L22" s="8" t="s">
        <v>12</v>
      </c>
      <c r="M22" s="9" t="s">
        <v>13</v>
      </c>
      <c r="N22" s="8" t="s">
        <v>37</v>
      </c>
      <c r="O22" s="10" t="s">
        <v>38</v>
      </c>
      <c r="P22" s="9" t="s">
        <v>39</v>
      </c>
      <c r="Q22" s="10" t="s">
        <v>16</v>
      </c>
      <c r="R22" s="10" t="s">
        <v>17</v>
      </c>
      <c r="S22" s="9" t="s">
        <v>18</v>
      </c>
      <c r="T22" s="9" t="s">
        <v>19</v>
      </c>
      <c r="U22" s="12" t="s">
        <v>40</v>
      </c>
      <c r="V22" s="16"/>
      <c r="W22" s="16"/>
    </row>
    <row r="23" spans="1:59" ht="60" customHeight="1" x14ac:dyDescent="0.45">
      <c r="A23" s="13"/>
      <c r="B23" s="14" t="s">
        <v>21</v>
      </c>
      <c r="C23" s="15">
        <f>C24+C27+C33+C34+C35+C32</f>
        <v>2265414.71</v>
      </c>
      <c r="D23" s="15">
        <f>D24+D27+D33+D34+D35+D32</f>
        <v>2045336.0310000002</v>
      </c>
      <c r="E23" s="15">
        <f t="shared" ref="E23:U23" si="6">E24+E27+E33+E34+E35+E32</f>
        <v>-220078.67899999971</v>
      </c>
      <c r="F23" s="15">
        <f t="shared" si="6"/>
        <v>192475.39400000026</v>
      </c>
      <c r="G23" s="15">
        <f t="shared" si="6"/>
        <v>8559.7999999999993</v>
      </c>
      <c r="H23" s="15">
        <f t="shared" si="6"/>
        <v>286134.09999999998</v>
      </c>
      <c r="I23" s="15">
        <f t="shared" si="6"/>
        <v>0.6</v>
      </c>
      <c r="J23" s="15">
        <f t="shared" si="6"/>
        <v>0</v>
      </c>
      <c r="K23" s="15">
        <f t="shared" si="6"/>
        <v>720257.7</v>
      </c>
      <c r="L23" s="15">
        <f t="shared" si="6"/>
        <v>0</v>
      </c>
      <c r="M23" s="15">
        <f t="shared" si="6"/>
        <v>152505.20000000001</v>
      </c>
      <c r="N23" s="15">
        <f t="shared" si="6"/>
        <v>146642.16</v>
      </c>
      <c r="O23" s="15">
        <f t="shared" si="6"/>
        <v>0</v>
      </c>
      <c r="P23" s="15">
        <f t="shared" si="6"/>
        <v>218540.245</v>
      </c>
      <c r="Q23" s="15">
        <f t="shared" si="6"/>
        <v>0</v>
      </c>
      <c r="R23" s="15">
        <f t="shared" si="6"/>
        <v>0</v>
      </c>
      <c r="S23" s="15">
        <f t="shared" si="6"/>
        <v>18912.525999999998</v>
      </c>
      <c r="T23" s="15">
        <f>T24+T27+T33+T34+T35+T32</f>
        <v>422890.9</v>
      </c>
      <c r="U23" s="15">
        <f t="shared" si="6"/>
        <v>70892.799999999988</v>
      </c>
      <c r="V23" s="16"/>
    </row>
    <row r="24" spans="1:59" ht="65.25" customHeight="1" x14ac:dyDescent="0.45">
      <c r="A24" s="13"/>
      <c r="B24" s="14" t="s">
        <v>22</v>
      </c>
      <c r="C24" s="15">
        <f>C25+C26+C28+C29+C30+C31</f>
        <v>401792.386</v>
      </c>
      <c r="D24" s="15">
        <f t="shared" ref="D24:T24" si="7">D25+D26+D28+D29+D30+D31</f>
        <v>128529.196</v>
      </c>
      <c r="E24" s="15">
        <f t="shared" si="7"/>
        <v>-273263.19000000006</v>
      </c>
      <c r="F24" s="15">
        <f t="shared" si="7"/>
        <v>98192.832999999941</v>
      </c>
      <c r="G24" s="15">
        <f t="shared" si="7"/>
        <v>1598.3</v>
      </c>
      <c r="H24" s="15">
        <f t="shared" si="7"/>
        <v>0</v>
      </c>
      <c r="I24" s="15">
        <f t="shared" si="7"/>
        <v>0.6</v>
      </c>
      <c r="J24" s="15">
        <f t="shared" si="7"/>
        <v>0</v>
      </c>
      <c r="K24" s="15">
        <f>K25+K26</f>
        <v>0</v>
      </c>
      <c r="L24" s="15">
        <f t="shared" si="7"/>
        <v>0</v>
      </c>
      <c r="M24" s="15">
        <f t="shared" si="7"/>
        <v>0</v>
      </c>
      <c r="N24" s="15">
        <f t="shared" si="7"/>
        <v>0</v>
      </c>
      <c r="O24" s="15">
        <f t="shared" si="7"/>
        <v>0</v>
      </c>
      <c r="P24" s="15">
        <f t="shared" si="7"/>
        <v>0</v>
      </c>
      <c r="Q24" s="15">
        <f t="shared" si="7"/>
        <v>0</v>
      </c>
      <c r="R24" s="15">
        <f t="shared" si="7"/>
        <v>0</v>
      </c>
      <c r="S24" s="15">
        <f t="shared" si="7"/>
        <v>1997.596</v>
      </c>
      <c r="T24" s="15">
        <f t="shared" si="7"/>
        <v>80020.5</v>
      </c>
      <c r="U24" s="15">
        <f>U25+U26+U28+U29+U30+U31</f>
        <v>44912.2</v>
      </c>
      <c r="V24" s="16"/>
    </row>
    <row r="25" spans="1:59" s="22" customFormat="1" ht="66.75" customHeight="1" x14ac:dyDescent="0.45">
      <c r="A25" s="56"/>
      <c r="B25" s="57" t="s">
        <v>23</v>
      </c>
      <c r="C25" s="17">
        <f>SUM('[1]01.01.2026 тэс операт. '!D25)</f>
        <v>348731.5</v>
      </c>
      <c r="D25" s="17">
        <f>SUM(G25:U25)</f>
        <v>38548</v>
      </c>
      <c r="E25" s="17">
        <f t="shared" ref="E25:E35" si="8">SUM(D25-C25)</f>
        <v>-310183.5</v>
      </c>
      <c r="F25" s="17">
        <f>F26+F27+F29+F30+F31+F33</f>
        <v>61272.522999999957</v>
      </c>
      <c r="G25" s="49"/>
      <c r="H25" s="49">
        <v>0</v>
      </c>
      <c r="I25" s="19"/>
      <c r="J25" s="19">
        <v>0</v>
      </c>
      <c r="K25" s="19"/>
      <c r="L25" s="19"/>
      <c r="M25" s="19"/>
      <c r="N25" s="19">
        <v>0</v>
      </c>
      <c r="O25" s="19"/>
      <c r="P25" s="19"/>
      <c r="Q25" s="19"/>
      <c r="R25" s="19"/>
      <c r="S25" s="19"/>
      <c r="T25" s="21"/>
      <c r="U25" s="26">
        <v>38548</v>
      </c>
      <c r="V25" s="16"/>
      <c r="W25" s="27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</row>
    <row r="26" spans="1:59" ht="61.5" customHeight="1" x14ac:dyDescent="0.45">
      <c r="A26" s="58">
        <v>1</v>
      </c>
      <c r="B26" s="57" t="s">
        <v>24</v>
      </c>
      <c r="C26" s="17">
        <f>SUM('[1]01.01.2026 тэс операт. '!D26)</f>
        <v>25436.837</v>
      </c>
      <c r="D26" s="17">
        <f>SUM(G26:U26)</f>
        <v>19668.688999999998</v>
      </c>
      <c r="E26" s="17">
        <f>SUM(D26-C26)</f>
        <v>-5768.148000000001</v>
      </c>
      <c r="F26" s="17">
        <f t="shared" ref="F26:F34" si="9">D26-C26</f>
        <v>-5768.148000000001</v>
      </c>
      <c r="G26" s="26"/>
      <c r="H26" s="26">
        <v>0</v>
      </c>
      <c r="I26" s="26">
        <v>0.6</v>
      </c>
      <c r="J26" s="40"/>
      <c r="K26" s="40">
        <v>0</v>
      </c>
      <c r="L26" s="40"/>
      <c r="M26" s="40"/>
      <c r="N26" s="40">
        <v>0</v>
      </c>
      <c r="O26" s="40"/>
      <c r="P26" s="26"/>
      <c r="Q26" s="26"/>
      <c r="R26" s="26"/>
      <c r="S26" s="26">
        <v>1416.789</v>
      </c>
      <c r="T26" s="29">
        <v>15506</v>
      </c>
      <c r="U26" s="26">
        <v>2745.3</v>
      </c>
      <c r="V26" s="16"/>
      <c r="W26" s="27"/>
      <c r="X26" s="16"/>
    </row>
    <row r="27" spans="1:59" s="28" customFormat="1" ht="58.5" customHeight="1" x14ac:dyDescent="0.45">
      <c r="A27" s="58">
        <v>2</v>
      </c>
      <c r="B27" s="59" t="s">
        <v>25</v>
      </c>
      <c r="C27" s="17">
        <f>SUM('[1]01.01.2026 тэс операт. '!D27)</f>
        <v>6657.7</v>
      </c>
      <c r="D27" s="17">
        <f t="shared" ref="D27:D35" si="10">SUM(G27:U27)</f>
        <v>319.89999999999998</v>
      </c>
      <c r="E27" s="17">
        <f t="shared" si="8"/>
        <v>-6337.8</v>
      </c>
      <c r="F27" s="17">
        <f t="shared" si="9"/>
        <v>-6337.8</v>
      </c>
      <c r="G27" s="29"/>
      <c r="H27" s="26">
        <v>0</v>
      </c>
      <c r="I27" s="26"/>
      <c r="J27" s="26"/>
      <c r="K27" s="26"/>
      <c r="L27" s="26"/>
      <c r="M27" s="26"/>
      <c r="N27" s="40"/>
      <c r="O27" s="40"/>
      <c r="P27" s="26"/>
      <c r="Q27" s="26"/>
      <c r="R27" s="26"/>
      <c r="S27" s="26">
        <v>0</v>
      </c>
      <c r="T27" s="29">
        <v>319.89999999999998</v>
      </c>
      <c r="U27" s="26">
        <v>0</v>
      </c>
      <c r="V27" s="16"/>
      <c r="W27" s="27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</row>
    <row r="28" spans="1:59" ht="61.5" customHeight="1" x14ac:dyDescent="0.45">
      <c r="A28" s="58">
        <v>3</v>
      </c>
      <c r="B28" s="57" t="s">
        <v>26</v>
      </c>
      <c r="C28" s="17">
        <f>SUM('[1]01.01.2026 тэс операт. '!D28)</f>
        <v>9472.9130000000005</v>
      </c>
      <c r="D28" s="17">
        <f t="shared" si="10"/>
        <v>29185.599999999999</v>
      </c>
      <c r="E28" s="17">
        <f t="shared" si="8"/>
        <v>19712.686999999998</v>
      </c>
      <c r="F28" s="17">
        <f t="shared" si="9"/>
        <v>19712.686999999998</v>
      </c>
      <c r="G28" s="26">
        <v>1240</v>
      </c>
      <c r="H28" s="26">
        <v>0</v>
      </c>
      <c r="I28" s="26"/>
      <c r="J28" s="26"/>
      <c r="K28" s="26"/>
      <c r="L28" s="26"/>
      <c r="M28" s="26"/>
      <c r="N28" s="40"/>
      <c r="O28" s="40"/>
      <c r="P28" s="26"/>
      <c r="Q28" s="26"/>
      <c r="R28" s="26"/>
      <c r="S28" s="26">
        <v>0</v>
      </c>
      <c r="T28" s="29">
        <v>27293</v>
      </c>
      <c r="U28" s="26">
        <v>652.6</v>
      </c>
      <c r="V28" s="16"/>
      <c r="W28" s="27"/>
    </row>
    <row r="29" spans="1:59" ht="63" customHeight="1" x14ac:dyDescent="0.45">
      <c r="A29" s="58">
        <v>4</v>
      </c>
      <c r="B29" s="57" t="s">
        <v>27</v>
      </c>
      <c r="C29" s="17">
        <f>SUM('[1]01.01.2026 тэс операт. '!D29)</f>
        <v>7530.49</v>
      </c>
      <c r="D29" s="17">
        <f t="shared" si="10"/>
        <v>4903.8</v>
      </c>
      <c r="E29" s="17">
        <f t="shared" si="8"/>
        <v>-2626.6899999999996</v>
      </c>
      <c r="F29" s="17">
        <f t="shared" si="9"/>
        <v>-2626.6899999999996</v>
      </c>
      <c r="G29" s="26">
        <v>0</v>
      </c>
      <c r="H29" s="26">
        <v>0</v>
      </c>
      <c r="I29" s="26">
        <v>0</v>
      </c>
      <c r="J29" s="26"/>
      <c r="K29" s="26"/>
      <c r="L29" s="26"/>
      <c r="M29" s="26">
        <v>0</v>
      </c>
      <c r="N29" s="40"/>
      <c r="O29" s="40"/>
      <c r="P29" s="26"/>
      <c r="Q29" s="26"/>
      <c r="R29" s="26"/>
      <c r="S29" s="26">
        <v>0</v>
      </c>
      <c r="T29" s="29">
        <v>3604.6</v>
      </c>
      <c r="U29" s="26">
        <v>1299.2</v>
      </c>
      <c r="V29" s="16"/>
      <c r="W29" s="27"/>
    </row>
    <row r="30" spans="1:59" ht="60" customHeight="1" x14ac:dyDescent="0.45">
      <c r="A30" s="58">
        <v>5</v>
      </c>
      <c r="B30" s="57" t="s">
        <v>28</v>
      </c>
      <c r="C30" s="17">
        <f>SUM('[1]01.01.2026 тэс операт. '!D30)</f>
        <v>4578.1350000000002</v>
      </c>
      <c r="D30" s="17">
        <f t="shared" si="10"/>
        <v>2187.3000000000002</v>
      </c>
      <c r="E30" s="17">
        <f t="shared" si="8"/>
        <v>-2390.835</v>
      </c>
      <c r="F30" s="17">
        <f t="shared" si="9"/>
        <v>-2390.835</v>
      </c>
      <c r="G30" s="26"/>
      <c r="H30" s="26">
        <v>0</v>
      </c>
      <c r="I30" s="26"/>
      <c r="J30" s="26"/>
      <c r="K30" s="26"/>
      <c r="L30" s="26"/>
      <c r="M30" s="26"/>
      <c r="N30" s="40">
        <v>0</v>
      </c>
      <c r="O30" s="40"/>
      <c r="P30" s="26"/>
      <c r="Q30" s="26"/>
      <c r="R30" s="26"/>
      <c r="S30" s="26">
        <v>0</v>
      </c>
      <c r="T30" s="29">
        <v>1658.7</v>
      </c>
      <c r="U30" s="26">
        <v>528.6</v>
      </c>
      <c r="V30" s="16"/>
      <c r="W30" s="27"/>
    </row>
    <row r="31" spans="1:59" ht="57.75" customHeight="1" x14ac:dyDescent="0.45">
      <c r="A31" s="58">
        <v>6</v>
      </c>
      <c r="B31" s="57" t="s">
        <v>29</v>
      </c>
      <c r="C31" s="17">
        <f>SUM('[1]01.01.2026 тэс операт. '!D31)</f>
        <v>6042.5109999999995</v>
      </c>
      <c r="D31" s="17">
        <f t="shared" si="10"/>
        <v>34035.807000000001</v>
      </c>
      <c r="E31" s="17">
        <f t="shared" si="8"/>
        <v>27993.296000000002</v>
      </c>
      <c r="F31" s="17">
        <f t="shared" si="9"/>
        <v>27993.296000000002</v>
      </c>
      <c r="G31" s="26">
        <v>358.3</v>
      </c>
      <c r="H31" s="26">
        <v>0</v>
      </c>
      <c r="I31" s="26"/>
      <c r="J31" s="26"/>
      <c r="K31" s="26"/>
      <c r="L31" s="26"/>
      <c r="M31" s="26"/>
      <c r="N31" s="40"/>
      <c r="O31" s="40"/>
      <c r="P31" s="26"/>
      <c r="Q31" s="26"/>
      <c r="R31" s="26"/>
      <c r="S31" s="26">
        <v>580.80700000000002</v>
      </c>
      <c r="T31" s="29">
        <v>31958.2</v>
      </c>
      <c r="U31" s="26">
        <v>1138.5</v>
      </c>
      <c r="V31" s="16"/>
      <c r="W31" s="27"/>
    </row>
    <row r="32" spans="1:59" s="38" customFormat="1" ht="57.75" customHeight="1" x14ac:dyDescent="0.45">
      <c r="A32" s="31">
        <v>7</v>
      </c>
      <c r="B32" s="32" t="s">
        <v>30</v>
      </c>
      <c r="C32" s="33">
        <f>SUM('[1]01.04.2026 тэс опер.с Тахиат '!C32)</f>
        <v>109356.75</v>
      </c>
      <c r="D32" s="33">
        <f t="shared" si="10"/>
        <v>68258.7</v>
      </c>
      <c r="E32" s="33">
        <f t="shared" si="8"/>
        <v>-41098.050000000003</v>
      </c>
      <c r="F32" s="33"/>
      <c r="G32" s="35">
        <v>2439.5</v>
      </c>
      <c r="H32" s="35"/>
      <c r="I32" s="35"/>
      <c r="J32" s="35"/>
      <c r="K32" s="35">
        <v>38230.1</v>
      </c>
      <c r="L32" s="35"/>
      <c r="M32" s="35"/>
      <c r="N32" s="36"/>
      <c r="O32" s="36"/>
      <c r="P32" s="35"/>
      <c r="Q32" s="35"/>
      <c r="R32" s="35"/>
      <c r="S32" s="35"/>
      <c r="T32" s="50">
        <v>27206.7</v>
      </c>
      <c r="U32" s="35">
        <v>382.4</v>
      </c>
      <c r="V32" s="37"/>
      <c r="W32" s="39"/>
    </row>
    <row r="33" spans="1:59" s="28" customFormat="1" ht="54" customHeight="1" x14ac:dyDescent="0.45">
      <c r="A33" s="58">
        <v>8</v>
      </c>
      <c r="B33" s="57" t="s">
        <v>31</v>
      </c>
      <c r="C33" s="17">
        <f>SUM('[1]01.01.2026 тэс операт. '!D33)</f>
        <v>237369.76</v>
      </c>
      <c r="D33" s="17">
        <f t="shared" si="10"/>
        <v>287772.45999999996</v>
      </c>
      <c r="E33" s="17">
        <f>SUM(D33-C33)</f>
        <v>50402.699999999953</v>
      </c>
      <c r="F33" s="17">
        <f t="shared" si="9"/>
        <v>50402.699999999953</v>
      </c>
      <c r="G33" s="26">
        <v>4509</v>
      </c>
      <c r="H33" s="26">
        <v>0</v>
      </c>
      <c r="I33" s="26">
        <v>0</v>
      </c>
      <c r="J33" s="40"/>
      <c r="K33" s="40"/>
      <c r="L33" s="40"/>
      <c r="M33" s="26">
        <v>152505.20000000001</v>
      </c>
      <c r="N33" s="40">
        <v>118136.66</v>
      </c>
      <c r="O33" s="40"/>
      <c r="P33" s="26"/>
      <c r="Q33" s="26"/>
      <c r="R33" s="26"/>
      <c r="S33" s="26"/>
      <c r="T33" s="29">
        <v>12621.6</v>
      </c>
      <c r="U33" s="26">
        <v>0</v>
      </c>
      <c r="V33" s="16"/>
      <c r="W33" s="27"/>
      <c r="X33" s="16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</row>
    <row r="34" spans="1:59" s="28" customFormat="1" ht="54.75" customHeight="1" x14ac:dyDescent="0.45">
      <c r="A34" s="58">
        <v>9</v>
      </c>
      <c r="B34" s="57" t="s">
        <v>41</v>
      </c>
      <c r="C34" s="17">
        <f>SUM('[1]01.01.2026 тэс операт. '!D34)</f>
        <v>371220.12099999998</v>
      </c>
      <c r="D34" s="17">
        <f t="shared" si="10"/>
        <v>330341.70600000001</v>
      </c>
      <c r="E34" s="17">
        <f t="shared" si="8"/>
        <v>-40878.414999999979</v>
      </c>
      <c r="F34" s="17">
        <f t="shared" si="9"/>
        <v>-40878.414999999979</v>
      </c>
      <c r="G34" s="26">
        <v>13</v>
      </c>
      <c r="H34" s="26">
        <v>158118.29999999999</v>
      </c>
      <c r="I34" s="26"/>
      <c r="J34" s="40"/>
      <c r="K34" s="40"/>
      <c r="L34" s="40"/>
      <c r="M34" s="40"/>
      <c r="N34" s="40">
        <v>28505.5</v>
      </c>
      <c r="O34" s="40"/>
      <c r="P34" s="26">
        <v>20668.7</v>
      </c>
      <c r="Q34" s="26"/>
      <c r="R34" s="26"/>
      <c r="S34" s="26">
        <v>28.006</v>
      </c>
      <c r="T34" s="29">
        <v>102859.5</v>
      </c>
      <c r="U34" s="26">
        <v>20148.7</v>
      </c>
      <c r="V34" s="16"/>
      <c r="W34" s="27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</row>
    <row r="35" spans="1:59" s="28" customFormat="1" ht="51" customHeight="1" x14ac:dyDescent="0.45">
      <c r="A35" s="58">
        <v>10</v>
      </c>
      <c r="B35" s="57" t="s">
        <v>33</v>
      </c>
      <c r="C35" s="17">
        <f>SUM('[1]01.01.2026 тэс операт. '!D35)</f>
        <v>1139017.9929999998</v>
      </c>
      <c r="D35" s="17">
        <f t="shared" si="10"/>
        <v>1230114.0690000001</v>
      </c>
      <c r="E35" s="17">
        <f t="shared" si="8"/>
        <v>91096.07600000035</v>
      </c>
      <c r="F35" s="23">
        <f>SUM(D35-C35)</f>
        <v>91096.07600000035</v>
      </c>
      <c r="G35" s="26"/>
      <c r="H35" s="26">
        <v>128015.8</v>
      </c>
      <c r="I35" s="26">
        <v>0</v>
      </c>
      <c r="J35" s="40">
        <v>0</v>
      </c>
      <c r="K35" s="40">
        <v>682027.6</v>
      </c>
      <c r="L35" s="40"/>
      <c r="M35" s="40"/>
      <c r="N35" s="40"/>
      <c r="O35" s="40"/>
      <c r="P35" s="40">
        <f>36607.479+6940.355+150986.751+3336.96</f>
        <v>197871.54499999998</v>
      </c>
      <c r="Q35" s="26"/>
      <c r="R35" s="26"/>
      <c r="S35" s="26">
        <v>16886.923999999999</v>
      </c>
      <c r="T35" s="29">
        <v>199862.7</v>
      </c>
      <c r="U35" s="26">
        <v>5449.5</v>
      </c>
      <c r="V35" s="16"/>
      <c r="W35" s="2"/>
      <c r="X35" s="27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</row>
    <row r="36" spans="1:59" ht="31.5" customHeight="1" x14ac:dyDescent="0.45">
      <c r="A36" s="42"/>
      <c r="B36" s="43"/>
      <c r="C36" s="51"/>
      <c r="D36" s="52"/>
      <c r="E36" s="52"/>
      <c r="F36" s="52"/>
      <c r="G36" s="46"/>
      <c r="H36" s="46"/>
      <c r="I36" s="46"/>
      <c r="J36" s="46"/>
      <c r="K36" s="46"/>
      <c r="L36" s="46"/>
      <c r="M36" s="46"/>
      <c r="N36" s="47"/>
      <c r="O36" s="47"/>
      <c r="P36" s="46"/>
      <c r="Q36" s="46"/>
      <c r="R36" s="46"/>
      <c r="S36" s="46"/>
      <c r="T36" s="46"/>
      <c r="U36" s="46">
        <v>0</v>
      </c>
      <c r="V36" s="53"/>
    </row>
    <row r="37" spans="1:59" ht="30.75" customHeight="1" x14ac:dyDescent="0.45">
      <c r="B37" s="3" t="s">
        <v>42</v>
      </c>
      <c r="P37" s="5"/>
      <c r="Q37" s="5"/>
      <c r="R37" s="5"/>
    </row>
    <row r="38" spans="1:59" x14ac:dyDescent="0.45">
      <c r="B38" s="43"/>
    </row>
    <row r="39" spans="1:59" x14ac:dyDescent="0.45">
      <c r="D39" s="5"/>
      <c r="E39" s="5"/>
    </row>
  </sheetData>
  <mergeCells count="15">
    <mergeCell ref="A1:T1"/>
    <mergeCell ref="A3:A4"/>
    <mergeCell ref="B3:B4"/>
    <mergeCell ref="C3:C4"/>
    <mergeCell ref="D3:D4"/>
    <mergeCell ref="E3:E4"/>
    <mergeCell ref="F3:F4"/>
    <mergeCell ref="G3:T3"/>
    <mergeCell ref="G21:T21"/>
    <mergeCell ref="A21:A22"/>
    <mergeCell ref="B21:B22"/>
    <mergeCell ref="C21:C22"/>
    <mergeCell ref="D21:D22"/>
    <mergeCell ref="E21:E22"/>
    <mergeCell ref="F21:F22"/>
  </mergeCells>
  <printOptions horizontalCentered="1"/>
  <pageMargins left="0.23622047244094491" right="0.23622047244094491" top="0.35433070866141736" bottom="0.35433070866141736" header="0.31496062992125984" footer="0.31496062992125984"/>
  <pageSetup paperSize="9" scale="26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01.07.2026 тэс опер.с Тах </vt:lpstr>
      <vt:lpstr>'01.07.2026 тэс опер.с Тах '!Область_печати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Шоҳрух Муҳиддинов</dc:creator>
  <cp:lastModifiedBy>Валентина Ишматова</cp:lastModifiedBy>
  <dcterms:created xsi:type="dcterms:W3CDTF">2026-07-14T06:07:45Z</dcterms:created>
  <dcterms:modified xsi:type="dcterms:W3CDTF">2026-07-23T04:29:33Z</dcterms:modified>
</cp:coreProperties>
</file>